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8_{8EB3A019-0C78-46F2-83AC-E5E1DC30499E}" xr6:coauthVersionLast="47" xr6:coauthVersionMax="47" xr10:uidLastSave="{00000000-0000-0000-0000-000000000000}"/>
  <bookViews>
    <workbookView xWindow="-110" yWindow="-110" windowWidth="19420" windowHeight="11500" xr2:uid="{7B2F1D65-501F-485A-ACC0-E805480479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23" i="1" s="1"/>
  <c r="Q12" i="1"/>
  <c r="D41" i="1"/>
  <c r="D40" i="1"/>
  <c r="D39" i="1"/>
  <c r="D38" i="1"/>
  <c r="D37" i="1"/>
  <c r="D36" i="1"/>
  <c r="D35" i="1"/>
  <c r="D34" i="1"/>
  <c r="D33" i="1"/>
  <c r="G23" i="1"/>
  <c r="H23" i="1" s="1"/>
  <c r="G33" i="1" s="1"/>
  <c r="R11" i="1"/>
  <c r="R10" i="1"/>
  <c r="H3" i="1"/>
  <c r="H24" i="1" s="1"/>
  <c r="G13" i="1"/>
  <c r="I25" i="1" l="1"/>
  <c r="I24" i="1"/>
  <c r="E13" i="1"/>
  <c r="H13" i="1"/>
  <c r="M22" i="1"/>
  <c r="I4" i="1"/>
  <c r="J4" i="1" s="1"/>
  <c r="I3" i="1"/>
  <c r="J3" i="1" s="1"/>
  <c r="A26" i="1"/>
  <c r="I8" i="1"/>
  <c r="J8" i="1" s="1"/>
  <c r="I7" i="1"/>
  <c r="J7" i="1" s="1"/>
  <c r="I6" i="1"/>
  <c r="J6" i="1" s="1"/>
  <c r="I5" i="1"/>
  <c r="J5" i="1" s="1"/>
  <c r="A27" i="1"/>
  <c r="A25" i="1"/>
  <c r="A24" i="1"/>
  <c r="B28" i="1"/>
  <c r="B27" i="1"/>
  <c r="B26" i="1"/>
  <c r="B25" i="1"/>
  <c r="B24" i="1"/>
  <c r="B23" i="1"/>
  <c r="F13" i="1" l="1"/>
  <c r="I13" i="1" s="1"/>
  <c r="J13" i="1" s="1"/>
  <c r="J9" i="1"/>
  <c r="I23" i="1"/>
  <c r="J23" i="1" s="1"/>
  <c r="I28" i="1"/>
  <c r="J28" i="1" s="1"/>
  <c r="J24" i="1"/>
  <c r="I27" i="1"/>
  <c r="J27" i="1" s="1"/>
  <c r="J25" i="1"/>
  <c r="I26" i="1"/>
  <c r="J26" i="1" s="1"/>
  <c r="I16" i="1" l="1"/>
  <c r="J16" i="1" s="1"/>
  <c r="I14" i="1"/>
  <c r="J14" i="1" s="1"/>
  <c r="I17" i="1"/>
  <c r="J17" i="1" s="1"/>
  <c r="I15" i="1"/>
  <c r="J15" i="1" s="1"/>
  <c r="J30" i="1"/>
  <c r="K30" i="1" s="1"/>
  <c r="I18" i="1"/>
  <c r="J18" i="1" s="1"/>
  <c r="J29" i="1"/>
  <c r="J10" i="1"/>
  <c r="K10" i="1" s="1"/>
  <c r="J20" i="1" l="1"/>
  <c r="K20" i="1" s="1"/>
  <c r="J19" i="1"/>
  <c r="G32" i="1"/>
  <c r="G34" i="1" s="1"/>
</calcChain>
</file>

<file path=xl/sharedStrings.xml><?xml version="1.0" encoding="utf-8"?>
<sst xmlns="http://schemas.openxmlformats.org/spreadsheetml/2006/main" count="33" uniqueCount="19">
  <si>
    <t>&gt;</t>
  </si>
  <si>
    <t>Taux</t>
  </si>
  <si>
    <t>MINI</t>
  </si>
  <si>
    <t>MAXI</t>
  </si>
  <si>
    <t>ITS</t>
  </si>
  <si>
    <t>BI</t>
  </si>
  <si>
    <t>Réduction</t>
  </si>
  <si>
    <t>Nb parts</t>
  </si>
  <si>
    <t>Nb part</t>
  </si>
  <si>
    <t>MOIS</t>
  </si>
  <si>
    <t>JOUR</t>
  </si>
  <si>
    <t>ANNEE</t>
  </si>
  <si>
    <t>Réduction Mois</t>
  </si>
  <si>
    <t>Réduction Jour</t>
  </si>
  <si>
    <t>NB JOURS</t>
  </si>
  <si>
    <t>BI MOIS</t>
  </si>
  <si>
    <t>BI JOUR</t>
  </si>
  <si>
    <t>Réduction Année</t>
  </si>
  <si>
    <t>BI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</si>
</sst>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/>
    <xf numFmtId="9" fontId="0" fillId="0" borderId="1" xfId="2" applyFont="1" applyBorder="1"/>
    <xf numFmtId="164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164" fontId="2" fillId="0" borderId="0" xfId="1" applyNumberFormat="1" applyFont="1"/>
    <xf numFmtId="164" fontId="0" fillId="0" borderId="0" xfId="0" applyNumberFormat="1"/>
    <xf numFmtId="0" fontId="3" fillId="0" borderId="4" xfId="0" applyFont="1" applyBorder="1"/>
    <xf numFmtId="0" fontId="3" fillId="0" borderId="5" xfId="0" applyFont="1" applyBorder="1"/>
    <xf numFmtId="164" fontId="4" fillId="0" borderId="5" xfId="1" applyNumberFormat="1" applyFont="1" applyBorder="1"/>
    <xf numFmtId="0" fontId="0" fillId="0" borderId="5" xfId="0" applyBorder="1"/>
    <xf numFmtId="164" fontId="4" fillId="0" borderId="6" xfId="1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2" applyNumberFormat="1" applyFont="1" applyBorder="1"/>
    <xf numFmtId="164" fontId="0" fillId="0" borderId="0" xfId="2" applyNumberFormat="1" applyFont="1" applyBorder="1"/>
    <xf numFmtId="164" fontId="0" fillId="0" borderId="0" xfId="1" applyNumberFormat="1" applyFont="1" applyBorder="1"/>
    <xf numFmtId="9" fontId="0" fillId="0" borderId="0" xfId="2" applyFont="1" applyBorder="1"/>
    <xf numFmtId="9" fontId="0" fillId="0" borderId="2" xfId="2" applyFont="1" applyBorder="1"/>
    <xf numFmtId="164" fontId="0" fillId="0" borderId="0" xfId="0" applyNumberFormat="1" applyAlignment="1">
      <alignment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DD94-600A-4224-B0CF-A386C2F7C0C8}">
  <dimension ref="A1:R41"/>
  <sheetViews>
    <sheetView tabSelected="1" zoomScale="70" zoomScaleNormal="70" workbookViewId="0">
      <selection activeCell="M16" sqref="M16"/>
    </sheetView>
  </sheetViews>
  <sheetFormatPr baseColWidth="10" defaultRowHeight="14.5" x14ac:dyDescent="0.35"/>
  <cols>
    <col min="1" max="2" width="12.453125" bestFit="1" customWidth="1"/>
    <col min="6" max="6" width="11.1796875" bestFit="1" customWidth="1"/>
    <col min="7" max="8" width="11.1796875" customWidth="1"/>
    <col min="9" max="9" width="11.1796875" bestFit="1" customWidth="1"/>
  </cols>
  <sheetData>
    <row r="1" spans="1:18" x14ac:dyDescent="0.35">
      <c r="A1" t="s">
        <v>9</v>
      </c>
    </row>
    <row r="2" spans="1:18" x14ac:dyDescent="0.35">
      <c r="A2" s="2" t="s">
        <v>2</v>
      </c>
      <c r="B2" s="2" t="s">
        <v>3</v>
      </c>
      <c r="C2" s="3" t="s">
        <v>1</v>
      </c>
      <c r="F2" t="s">
        <v>5</v>
      </c>
      <c r="G2" t="s">
        <v>8</v>
      </c>
      <c r="H2" t="s">
        <v>6</v>
      </c>
      <c r="K2" s="10" t="s">
        <v>4</v>
      </c>
    </row>
    <row r="3" spans="1:18" x14ac:dyDescent="0.35">
      <c r="A3" s="2">
        <v>0</v>
      </c>
      <c r="B3" s="2">
        <v>75000</v>
      </c>
      <c r="C3" s="4">
        <v>0</v>
      </c>
      <c r="D3" s="17"/>
      <c r="E3" s="17"/>
      <c r="F3" s="18">
        <f>(1624102/D13)*30</f>
        <v>1624102</v>
      </c>
      <c r="G3">
        <v>2.5</v>
      </c>
      <c r="H3" s="1">
        <f>IF(G3=1,B33,(IF(G3=1.5,B34,IF(G3=2,B35,IF(G3=2.5,B36,IF(G3=3,B37,IF(G3=3.5,B38,IF(G3=4,B39,IF(G3=4.5,B40,IF(G3=5,B41,0))))))))))</f>
        <v>16500</v>
      </c>
      <c r="I3">
        <f>IF(F3&lt;=B3,0,0)</f>
        <v>0</v>
      </c>
      <c r="J3">
        <f>IF(I3&lt;=C3,0,0)</f>
        <v>0</v>
      </c>
      <c r="K3" s="11"/>
    </row>
    <row r="4" spans="1:18" x14ac:dyDescent="0.35">
      <c r="A4" s="2">
        <v>75000</v>
      </c>
      <c r="B4" s="2">
        <v>240000</v>
      </c>
      <c r="C4" s="4">
        <v>0.16</v>
      </c>
      <c r="D4" s="17"/>
      <c r="E4" s="17"/>
      <c r="G4" s="1"/>
      <c r="H4" s="1"/>
      <c r="I4" s="1">
        <f>IF(F3&lt;=B4,((F3-A4)*C4),((B4-A4)*C4))</f>
        <v>26400</v>
      </c>
      <c r="J4" s="1">
        <f>IF(I4&lt;0,0,I4)</f>
        <v>26400</v>
      </c>
      <c r="K4" s="11"/>
    </row>
    <row r="5" spans="1:18" x14ac:dyDescent="0.35">
      <c r="A5" s="2">
        <v>240000</v>
      </c>
      <c r="B5" s="2">
        <v>800000</v>
      </c>
      <c r="C5" s="4">
        <v>0.21</v>
      </c>
      <c r="D5" s="17"/>
      <c r="E5" s="17"/>
      <c r="G5" s="1"/>
      <c r="H5" s="1"/>
      <c r="I5" s="1">
        <f>IF(F3&lt;=B5,((F3-A5)*C5),((B5-A5)*C5))</f>
        <v>117600</v>
      </c>
      <c r="J5" s="1">
        <f>IF(I5&lt;0,0,I5)</f>
        <v>117600</v>
      </c>
      <c r="K5" s="11"/>
    </row>
    <row r="6" spans="1:18" x14ac:dyDescent="0.35">
      <c r="A6" s="2">
        <v>800000</v>
      </c>
      <c r="B6" s="2">
        <v>2400000</v>
      </c>
      <c r="C6" s="4">
        <v>0.24</v>
      </c>
      <c r="D6" s="17"/>
      <c r="E6" s="17"/>
      <c r="G6" s="1"/>
      <c r="H6" s="1"/>
      <c r="I6" s="1">
        <f>IF(F3&lt;=B6,((F3-A6)*C6),((B6-A6)*C6))</f>
        <v>197784.47999999998</v>
      </c>
      <c r="J6" s="1">
        <f>IF(I6&lt;0,0,I6)</f>
        <v>197784.47999999998</v>
      </c>
      <c r="K6" s="11"/>
    </row>
    <row r="7" spans="1:18" x14ac:dyDescent="0.35">
      <c r="A7" s="2">
        <v>2400000</v>
      </c>
      <c r="B7" s="2">
        <v>8000000</v>
      </c>
      <c r="C7" s="4">
        <v>0.28000000000000003</v>
      </c>
      <c r="D7" s="17"/>
      <c r="E7" s="17"/>
      <c r="G7" s="1"/>
      <c r="H7" s="1"/>
      <c r="I7" s="1">
        <f>IF(F3&lt;=B7,((F3-A7)*C7),((B7-A7)*C7))</f>
        <v>-217251.44000000003</v>
      </c>
      <c r="J7" s="1">
        <f>IF(I7&lt;0,0,I7)</f>
        <v>0</v>
      </c>
      <c r="K7" s="11"/>
    </row>
    <row r="8" spans="1:18" x14ac:dyDescent="0.35">
      <c r="A8" s="2" t="s">
        <v>0</v>
      </c>
      <c r="B8" s="2">
        <v>8000000</v>
      </c>
      <c r="C8" s="4">
        <v>0.32</v>
      </c>
      <c r="D8" s="17"/>
      <c r="E8" s="17"/>
      <c r="G8" s="1"/>
      <c r="H8" s="1"/>
      <c r="I8" s="1">
        <f>IF(F3&lt;=B8,((F3-B8)*C8),((B8-B8)*C8))</f>
        <v>-2040287.36</v>
      </c>
      <c r="J8" s="1">
        <f>IF(I8&lt;0,0,I8)</f>
        <v>0</v>
      </c>
      <c r="K8" s="11"/>
    </row>
    <row r="9" spans="1:18" x14ac:dyDescent="0.35">
      <c r="A9" s="5"/>
      <c r="B9" s="5"/>
      <c r="C9" s="21"/>
      <c r="D9" s="17"/>
      <c r="E9" s="17"/>
      <c r="G9" s="1"/>
      <c r="H9" s="1"/>
      <c r="I9" s="1"/>
      <c r="J9" s="1">
        <f>SUM(J3:J8)</f>
        <v>341784.48</v>
      </c>
      <c r="K9" s="11"/>
    </row>
    <row r="10" spans="1:18" x14ac:dyDescent="0.35">
      <c r="A10" s="5"/>
      <c r="B10" s="5"/>
      <c r="C10" s="6"/>
      <c r="G10" s="8"/>
      <c r="H10" s="8"/>
      <c r="I10" s="8"/>
      <c r="J10" s="8">
        <f>SUM(J3:J8)-H3</f>
        <v>325284.47999999998</v>
      </c>
      <c r="K10" s="12">
        <f>IF(J10&lt;0,0,J10)</f>
        <v>325284.47999999998</v>
      </c>
      <c r="M10" s="1">
        <v>188483.68</v>
      </c>
      <c r="P10">
        <v>1419015</v>
      </c>
      <c r="Q10">
        <v>270564</v>
      </c>
      <c r="R10">
        <f>P10-Q10</f>
        <v>1148451</v>
      </c>
    </row>
    <row r="11" spans="1:18" x14ac:dyDescent="0.35">
      <c r="A11" t="s">
        <v>10</v>
      </c>
      <c r="P11">
        <v>1419015</v>
      </c>
      <c r="Q11">
        <v>281564</v>
      </c>
      <c r="R11">
        <f>P11-Q11</f>
        <v>1137451</v>
      </c>
    </row>
    <row r="12" spans="1:18" x14ac:dyDescent="0.35">
      <c r="A12" s="2" t="s">
        <v>2</v>
      </c>
      <c r="B12" s="2" t="s">
        <v>3</v>
      </c>
      <c r="C12" s="3" t="s">
        <v>1</v>
      </c>
      <c r="D12" t="s">
        <v>14</v>
      </c>
      <c r="E12" t="s">
        <v>15</v>
      </c>
      <c r="F12" t="s">
        <v>16</v>
      </c>
      <c r="G12" t="s">
        <v>8</v>
      </c>
      <c r="H12" t="s">
        <v>6</v>
      </c>
      <c r="K12" s="10" t="s">
        <v>4</v>
      </c>
      <c r="Q12">
        <f>Q11-Q10</f>
        <v>11000</v>
      </c>
    </row>
    <row r="13" spans="1:18" x14ac:dyDescent="0.35">
      <c r="A13" s="2">
        <v>0</v>
      </c>
      <c r="B13" s="2">
        <v>2500</v>
      </c>
      <c r="C13" s="4">
        <v>0</v>
      </c>
      <c r="D13" s="17">
        <v>30</v>
      </c>
      <c r="E13" s="18">
        <f>F3</f>
        <v>1624102</v>
      </c>
      <c r="F13" s="1">
        <f>(E13/30)</f>
        <v>54136.73333333333</v>
      </c>
      <c r="G13">
        <f>G3</f>
        <v>2.5</v>
      </c>
      <c r="H13" s="1">
        <f>IF(G13=1,C33,(IF(G13=1.5,C34,IF(G13=2,C35,IF(G13=2.5,C36,IF(G13=3,C37,IF(G13=3.5,C38,IF(G13=4,C39,IF(G13=4.5,C40,IF(G13=5,C41,0))))))))))</f>
        <v>550</v>
      </c>
      <c r="I13">
        <f>IF(F13&lt;=B13,0,0)</f>
        <v>0</v>
      </c>
      <c r="J13">
        <f>IF(I13&lt;=C13,0,0)</f>
        <v>0</v>
      </c>
      <c r="K13" s="11"/>
    </row>
    <row r="14" spans="1:18" x14ac:dyDescent="0.35">
      <c r="A14" s="2">
        <v>2500</v>
      </c>
      <c r="B14" s="2">
        <v>8000</v>
      </c>
      <c r="C14" s="4">
        <v>0.16</v>
      </c>
      <c r="D14" s="17"/>
      <c r="E14" s="17"/>
      <c r="G14" s="1"/>
      <c r="H14" s="1"/>
      <c r="I14" s="1">
        <f>IF(F13&lt;=B14,((F13-A14)*C14),((B14-A14)*C14))</f>
        <v>880</v>
      </c>
      <c r="J14" s="1">
        <f>IF(I14&lt;0,0,I14)</f>
        <v>880</v>
      </c>
      <c r="K14" s="11"/>
    </row>
    <row r="15" spans="1:18" x14ac:dyDescent="0.35">
      <c r="A15" s="2">
        <v>8000</v>
      </c>
      <c r="B15" s="2">
        <v>26667</v>
      </c>
      <c r="C15" s="4">
        <v>0.21</v>
      </c>
      <c r="D15" s="17"/>
      <c r="E15" s="17"/>
      <c r="G15" s="1"/>
      <c r="H15" s="1"/>
      <c r="I15" s="1">
        <f>IF(F13&lt;=B15,((F13-A15)*C15),((B15-A15)*C15))</f>
        <v>3920.0699999999997</v>
      </c>
      <c r="J15" s="1">
        <f>IF(I15&lt;0,0,I15)</f>
        <v>3920.0699999999997</v>
      </c>
      <c r="K15" s="11"/>
    </row>
    <row r="16" spans="1:18" x14ac:dyDescent="0.35">
      <c r="A16" s="2">
        <v>26667</v>
      </c>
      <c r="B16" s="2">
        <v>80000</v>
      </c>
      <c r="C16" s="4">
        <v>0.24</v>
      </c>
      <c r="D16" s="17"/>
      <c r="E16" s="17"/>
      <c r="G16" s="1"/>
      <c r="H16" s="1"/>
      <c r="I16" s="1">
        <f>IF(F13&lt;=B16,((F13-A16)*C16),((B16-A16)*C16))</f>
        <v>6592.735999999999</v>
      </c>
      <c r="J16" s="1">
        <f>IF(I16&lt;0,0,I16)</f>
        <v>6592.735999999999</v>
      </c>
      <c r="K16" s="11"/>
    </row>
    <row r="17" spans="1:13" x14ac:dyDescent="0.35">
      <c r="A17" s="2">
        <v>80000</v>
      </c>
      <c r="B17" s="2">
        <v>266667</v>
      </c>
      <c r="C17" s="4">
        <v>0.28000000000000003</v>
      </c>
      <c r="D17" s="17"/>
      <c r="E17" s="17"/>
      <c r="G17" s="1"/>
      <c r="H17" s="1"/>
      <c r="I17" s="1">
        <f>IF(F13&lt;=B17,((F13-A17)*C17),((B17-A17)*C17))</f>
        <v>-7241.7146666666686</v>
      </c>
      <c r="J17" s="1">
        <f>IF(I17&lt;0,0,I17)</f>
        <v>0</v>
      </c>
      <c r="K17" s="11"/>
    </row>
    <row r="18" spans="1:13" x14ac:dyDescent="0.35">
      <c r="A18" s="2" t="s">
        <v>0</v>
      </c>
      <c r="B18" s="2">
        <v>266667</v>
      </c>
      <c r="C18" s="4">
        <v>0.32</v>
      </c>
      <c r="D18" s="17"/>
      <c r="E18" s="17"/>
      <c r="G18" s="1"/>
      <c r="H18" s="1"/>
      <c r="I18" s="1">
        <f>IF(F13&lt;=B18,((F13-B18)*C18),((B18-B18)*C18))</f>
        <v>-68009.685333333327</v>
      </c>
      <c r="J18" s="1">
        <f>IF(I18&lt;0,0,I18)</f>
        <v>0</v>
      </c>
      <c r="K18" s="11"/>
    </row>
    <row r="19" spans="1:13" x14ac:dyDescent="0.35">
      <c r="A19" s="5"/>
      <c r="B19" s="5"/>
      <c r="C19" s="21"/>
      <c r="D19" s="17"/>
      <c r="E19" s="17"/>
      <c r="G19" s="1"/>
      <c r="H19" s="1"/>
      <c r="I19" s="1"/>
      <c r="J19" s="1">
        <f>SUM(J13:J18)</f>
        <v>11392.805999999999</v>
      </c>
      <c r="K19" s="11"/>
    </row>
    <row r="20" spans="1:13" x14ac:dyDescent="0.35">
      <c r="A20" s="5"/>
      <c r="B20" s="5"/>
      <c r="C20" s="6"/>
      <c r="G20" s="8"/>
      <c r="H20" s="8"/>
      <c r="I20" s="8"/>
      <c r="J20" s="8">
        <f>SUM(J13:J18)-H13</f>
        <v>10842.805999999999</v>
      </c>
      <c r="K20" s="12">
        <f>IF(J20&lt;0,0,J20)</f>
        <v>10842.805999999999</v>
      </c>
      <c r="M20" s="1">
        <v>188483.68</v>
      </c>
    </row>
    <row r="21" spans="1:13" x14ac:dyDescent="0.35">
      <c r="A21" s="7" t="s">
        <v>11</v>
      </c>
      <c r="B21" s="7"/>
      <c r="C21" s="7"/>
      <c r="K21" s="13"/>
      <c r="M21" s="1">
        <v>497017.36</v>
      </c>
    </row>
    <row r="22" spans="1:13" x14ac:dyDescent="0.35">
      <c r="A22" s="2" t="s">
        <v>2</v>
      </c>
      <c r="B22" s="2" t="s">
        <v>3</v>
      </c>
      <c r="C22" s="3" t="s">
        <v>1</v>
      </c>
      <c r="F22" t="s">
        <v>18</v>
      </c>
      <c r="G22" t="s">
        <v>8</v>
      </c>
      <c r="H22" t="s">
        <v>6</v>
      </c>
      <c r="K22" s="11" t="s">
        <v>4</v>
      </c>
      <c r="M22" s="1">
        <f>SUM(M10:M21)</f>
        <v>873984.72</v>
      </c>
    </row>
    <row r="23" spans="1:13" x14ac:dyDescent="0.35">
      <c r="A23" s="2">
        <v>0</v>
      </c>
      <c r="B23" s="2">
        <f>75000*12</f>
        <v>900000</v>
      </c>
      <c r="C23" s="4">
        <v>0</v>
      </c>
      <c r="D23" s="17"/>
      <c r="E23" s="17"/>
      <c r="F23" s="1">
        <f>(F3/30)*360</f>
        <v>19489224</v>
      </c>
      <c r="G23">
        <f>G3</f>
        <v>2.5</v>
      </c>
      <c r="H23" s="1">
        <f>IF(G23=1,D33,(IF(G23=1.5,D34,IF(G23=2,D35,IF(G23=2.5,D36,IF(G23=3,D37,IF(G23=3.5,D38,IF(G23=4,D39,IF(G23=4.5,D40,IF(G23=5,D41,0))))))))))</f>
        <v>198000</v>
      </c>
      <c r="I23">
        <f>IF(F23&lt;=B23,0,0)</f>
        <v>0</v>
      </c>
      <c r="J23">
        <f>IF(I23&lt;=C23,0,0)</f>
        <v>0</v>
      </c>
      <c r="K23" s="11"/>
    </row>
    <row r="24" spans="1:13" x14ac:dyDescent="0.35">
      <c r="A24" s="2">
        <f>75000*12</f>
        <v>900000</v>
      </c>
      <c r="B24" s="2">
        <f>240000*12</f>
        <v>2880000</v>
      </c>
      <c r="C24" s="4">
        <v>0.16</v>
      </c>
      <c r="D24" s="17"/>
      <c r="E24" s="17"/>
      <c r="G24" s="1"/>
      <c r="H24" s="1">
        <f>H3*12</f>
        <v>198000</v>
      </c>
      <c r="I24" s="1">
        <f>IF(F23&lt;=B24,((F23-A24)*C24),((B24-A24)*C24))</f>
        <v>316800</v>
      </c>
      <c r="J24" s="1">
        <f>IF(I24&lt;0,0,I24)</f>
        <v>316800</v>
      </c>
      <c r="K24" s="11"/>
    </row>
    <row r="25" spans="1:13" x14ac:dyDescent="0.35">
      <c r="A25" s="2">
        <f>240000*12</f>
        <v>2880000</v>
      </c>
      <c r="B25" s="2">
        <f>800000*12</f>
        <v>9600000</v>
      </c>
      <c r="C25" s="4">
        <v>0.21</v>
      </c>
      <c r="D25" s="17"/>
      <c r="E25" s="18"/>
      <c r="G25" s="1"/>
      <c r="H25" s="1"/>
      <c r="I25" s="1">
        <f>IF(F23&lt;=B25,((F23-A25)*C25),((B25-A25)*C25))</f>
        <v>1411200</v>
      </c>
      <c r="J25" s="1">
        <f>IF(I25&lt;0,0,I25)</f>
        <v>1411200</v>
      </c>
      <c r="K25" s="11"/>
    </row>
    <row r="26" spans="1:13" x14ac:dyDescent="0.35">
      <c r="A26" s="2">
        <f>800000*12</f>
        <v>9600000</v>
      </c>
      <c r="B26" s="2">
        <f>2400000*12</f>
        <v>28800000</v>
      </c>
      <c r="C26" s="4">
        <v>0.24</v>
      </c>
      <c r="D26" s="17"/>
      <c r="E26" s="17"/>
      <c r="G26" s="1"/>
      <c r="H26" s="1"/>
      <c r="I26" s="1">
        <f>IF(F23&lt;=B26,((F23-A26)*C26),((B26-A26)*C26))</f>
        <v>2373413.7599999998</v>
      </c>
      <c r="J26" s="1">
        <f>IF(I26&lt;0,0,I26)</f>
        <v>2373413.7599999998</v>
      </c>
      <c r="K26" s="11"/>
    </row>
    <row r="27" spans="1:13" x14ac:dyDescent="0.35">
      <c r="A27" s="2">
        <f>2400000*12</f>
        <v>28800000</v>
      </c>
      <c r="B27" s="2">
        <f>8000000*12</f>
        <v>96000000</v>
      </c>
      <c r="C27" s="4">
        <v>0.28000000000000003</v>
      </c>
      <c r="D27" s="17"/>
      <c r="E27" s="17"/>
      <c r="G27" s="1"/>
      <c r="H27" s="1"/>
      <c r="I27" s="1">
        <f>IF(F23&lt;=B27,((F23-A27)*C27),((B27-A27)*C27))</f>
        <v>-2607017.2800000003</v>
      </c>
      <c r="J27" s="1">
        <f>IF(I27&lt;0,0,I27)</f>
        <v>0</v>
      </c>
      <c r="K27" s="11"/>
    </row>
    <row r="28" spans="1:13" x14ac:dyDescent="0.35">
      <c r="A28" s="2" t="s">
        <v>0</v>
      </c>
      <c r="B28" s="2">
        <f>8000000*12</f>
        <v>96000000</v>
      </c>
      <c r="C28" s="4">
        <v>0.32</v>
      </c>
      <c r="D28" s="17"/>
      <c r="E28" s="17"/>
      <c r="G28" s="1"/>
      <c r="H28" s="1"/>
      <c r="I28" s="1">
        <f>IF(F23&lt;=B28,((F23-B28)*C28),((B28-B28)*C28))</f>
        <v>-24483448.32</v>
      </c>
      <c r="J28" s="1">
        <f>IF(I28&lt;0,0,I28)</f>
        <v>0</v>
      </c>
      <c r="K28" s="11"/>
    </row>
    <row r="29" spans="1:13" x14ac:dyDescent="0.35">
      <c r="A29" s="19"/>
      <c r="B29" s="19"/>
      <c r="C29" s="20"/>
      <c r="D29" s="17"/>
      <c r="E29" s="17"/>
      <c r="G29" s="1"/>
      <c r="H29" s="1"/>
      <c r="I29" s="1"/>
      <c r="J29" s="1">
        <f>SUM(J23:J28)</f>
        <v>4101413.76</v>
      </c>
      <c r="K29" s="11"/>
    </row>
    <row r="30" spans="1:13" x14ac:dyDescent="0.35">
      <c r="G30" s="8"/>
      <c r="H30" s="8"/>
      <c r="I30" s="8"/>
      <c r="J30" s="8">
        <f>SUM(J23:J28)-H24</f>
        <v>3903413.76</v>
      </c>
      <c r="K30" s="14">
        <f>IF(J30&lt;0,0,J30)</f>
        <v>3903413.76</v>
      </c>
    </row>
    <row r="31" spans="1:13" x14ac:dyDescent="0.35">
      <c r="J31" s="9"/>
    </row>
    <row r="32" spans="1:13" s="16" customFormat="1" ht="29" x14ac:dyDescent="0.35">
      <c r="A32" s="15" t="s">
        <v>7</v>
      </c>
      <c r="B32" s="15" t="s">
        <v>12</v>
      </c>
      <c r="C32" s="15" t="s">
        <v>13</v>
      </c>
      <c r="D32" s="15" t="s">
        <v>17</v>
      </c>
      <c r="G32" s="22">
        <f>(J29/360)*D13</f>
        <v>341784.48</v>
      </c>
    </row>
    <row r="33" spans="1:7" x14ac:dyDescent="0.35">
      <c r="A33" s="3">
        <v>1</v>
      </c>
      <c r="B33" s="2">
        <v>0</v>
      </c>
      <c r="C33" s="2">
        <v>0</v>
      </c>
      <c r="D33" s="2">
        <f>B33*12</f>
        <v>0</v>
      </c>
      <c r="G33" s="22">
        <f>(H23/360)*D13</f>
        <v>16500</v>
      </c>
    </row>
    <row r="34" spans="1:7" x14ac:dyDescent="0.35">
      <c r="A34" s="3">
        <v>1.5</v>
      </c>
      <c r="B34" s="2">
        <v>5500</v>
      </c>
      <c r="C34" s="2">
        <v>183</v>
      </c>
      <c r="D34" s="2">
        <f t="shared" ref="D34:D41" si="0">B34*12</f>
        <v>66000</v>
      </c>
      <c r="G34" s="22">
        <f>G32-G33</f>
        <v>325284.47999999998</v>
      </c>
    </row>
    <row r="35" spans="1:7" x14ac:dyDescent="0.35">
      <c r="A35" s="3">
        <v>2</v>
      </c>
      <c r="B35" s="2">
        <v>11000</v>
      </c>
      <c r="C35" s="2">
        <v>367</v>
      </c>
      <c r="D35" s="2">
        <f t="shared" si="0"/>
        <v>132000</v>
      </c>
    </row>
    <row r="36" spans="1:7" x14ac:dyDescent="0.35">
      <c r="A36" s="3">
        <v>2.5</v>
      </c>
      <c r="B36" s="2">
        <v>16500</v>
      </c>
      <c r="C36" s="2">
        <v>550</v>
      </c>
      <c r="D36" s="2">
        <f t="shared" si="0"/>
        <v>198000</v>
      </c>
    </row>
    <row r="37" spans="1:7" x14ac:dyDescent="0.35">
      <c r="A37" s="3">
        <v>3</v>
      </c>
      <c r="B37" s="2">
        <v>22000</v>
      </c>
      <c r="C37" s="2">
        <v>733</v>
      </c>
      <c r="D37" s="2">
        <f t="shared" si="0"/>
        <v>264000</v>
      </c>
    </row>
    <row r="38" spans="1:7" x14ac:dyDescent="0.35">
      <c r="A38" s="3">
        <v>3.5</v>
      </c>
      <c r="B38" s="2">
        <v>27500</v>
      </c>
      <c r="C38" s="2">
        <v>917</v>
      </c>
      <c r="D38" s="2">
        <f t="shared" si="0"/>
        <v>330000</v>
      </c>
    </row>
    <row r="39" spans="1:7" x14ac:dyDescent="0.35">
      <c r="A39" s="3">
        <v>4</v>
      </c>
      <c r="B39" s="2">
        <v>33000</v>
      </c>
      <c r="C39" s="2">
        <v>1100</v>
      </c>
      <c r="D39" s="2">
        <f t="shared" si="0"/>
        <v>396000</v>
      </c>
    </row>
    <row r="40" spans="1:7" x14ac:dyDescent="0.35">
      <c r="A40" s="3">
        <v>4.5</v>
      </c>
      <c r="B40" s="2">
        <v>38500</v>
      </c>
      <c r="C40" s="2">
        <v>1283</v>
      </c>
      <c r="D40" s="2">
        <f t="shared" si="0"/>
        <v>462000</v>
      </c>
    </row>
    <row r="41" spans="1:7" x14ac:dyDescent="0.35">
      <c r="A41" s="3">
        <v>5</v>
      </c>
      <c r="B41" s="2">
        <v>44000</v>
      </c>
      <c r="C41" s="2">
        <v>1467</v>
      </c>
      <c r="D41" s="2">
        <f t="shared" si="0"/>
        <v>528000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Stephane KOUAKOU</cp:lastModifiedBy>
  <dcterms:created xsi:type="dcterms:W3CDTF">2024-02-15T17:30:41Z</dcterms:created>
  <dcterms:modified xsi:type="dcterms:W3CDTF">2026-03-30T10:39:42Z</dcterms:modified>
</cp:coreProperties>
</file>